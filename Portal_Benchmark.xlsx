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Comparison" sheetId="2" state="visible" r:id="rId4"/>
    <sheet name="3. Charts" sheetId="3" state="visible" r:id="rId5"/>
    <sheet name="4.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<sst xmlns="http://schemas.openxmlformats.org/spreadsheetml/2006/main" count="120" uniqueCount="80">
  <si>
    <r>
      <rPr>
        <b val="true"/>
        <sz val="14"/>
        <color rgb="FFFFFFFF"/>
        <rFont val="DejaVu Sans"/>
        <family val="2"/>
      </rPr>
      <t xml:space="preserve">포탈 렌더링 성능 벤치마크 </t>
    </r>
    <r>
      <rPr>
        <b val="true"/>
        <sz val="14"/>
        <color rgb="FFFFFFFF"/>
        <rFont val="Arial"/>
        <family val="0"/>
        <charset val="1"/>
      </rPr>
      <t xml:space="preserve">- </t>
    </r>
    <r>
      <rPr>
        <b val="true"/>
        <sz val="14"/>
        <color rgb="FFFFFFFF"/>
        <rFont val="DejaVu Sans"/>
        <family val="2"/>
      </rPr>
      <t xml:space="preserve">원시 데이터 </t>
    </r>
    <r>
      <rPr>
        <b val="true"/>
        <sz val="14"/>
        <color rgb="FFFFFFFF"/>
        <rFont val="Arial"/>
        <family val="0"/>
        <charset val="1"/>
      </rPr>
      <t xml:space="preserve">(GPU ms, Avg)</t>
    </r>
  </si>
  <si>
    <t xml:space="preserve">Category</t>
  </si>
  <si>
    <t xml:space="preserve">① Baseline
(r.Portal.Enable 0)</t>
  </si>
  <si>
    <r>
      <rPr>
        <b val="true"/>
        <sz val="11"/>
        <color rgb="FFFFFFFF"/>
        <rFont val="Arial"/>
        <family val="0"/>
        <charset val="1"/>
      </rPr>
      <t xml:space="preserve">② Portal ON + </t>
    </r>
    <r>
      <rPr>
        <b val="true"/>
        <sz val="11"/>
        <color rgb="FFFFFFFF"/>
        <rFont val="DejaVu Sans"/>
        <family val="2"/>
      </rPr>
      <t xml:space="preserve">최적화 </t>
    </r>
    <r>
      <rPr>
        <b val="true"/>
        <sz val="11"/>
        <color rgb="FFFFFFFF"/>
        <rFont val="Arial"/>
        <family val="0"/>
        <charset val="1"/>
      </rPr>
      <t xml:space="preserve">OFF
(Enable 1, Culling 0)</t>
    </r>
  </si>
  <si>
    <r>
      <rPr>
        <b val="true"/>
        <sz val="11"/>
        <color rgb="FFFFFFFF"/>
        <rFont val="Arial"/>
        <family val="0"/>
        <charset val="1"/>
      </rPr>
      <t xml:space="preserve">③ Portal ON + </t>
    </r>
    <r>
      <rPr>
        <b val="true"/>
        <sz val="11"/>
        <color rgb="FFFFFFFF"/>
        <rFont val="DejaVu Sans"/>
        <family val="2"/>
      </rPr>
      <t xml:space="preserve">최적화 </t>
    </r>
    <r>
      <rPr>
        <b val="true"/>
        <sz val="11"/>
        <color rgb="FFFFFFFF"/>
        <rFont val="Arial"/>
        <family val="0"/>
        <charset val="1"/>
      </rPr>
      <t xml:space="preserve">ON
(Enable 1, Culling 1)</t>
    </r>
  </si>
  <si>
    <t xml:space="preserve">[TOTAL]</t>
  </si>
  <si>
    <t xml:space="preserve">Shadow Projection</t>
  </si>
  <si>
    <t xml:space="preserve">Shadow Depths</t>
  </si>
  <si>
    <t xml:space="preserve">LumenScreenProbeGather</t>
  </si>
  <si>
    <t xml:space="preserve">Basepass</t>
  </si>
  <si>
    <t xml:space="preserve">[unaccounted]</t>
  </si>
  <si>
    <t xml:space="preserve">Render Velocities</t>
  </si>
  <si>
    <t xml:space="preserve">Postprocessing</t>
  </si>
  <si>
    <t xml:space="preserve">RenderDeferredLighting</t>
  </si>
  <si>
    <t xml:space="preserve">Lights</t>
  </si>
  <si>
    <t xml:space="preserve">LumenReflections</t>
  </si>
  <si>
    <t xml:space="preserve">LumenSceneLighting</t>
  </si>
  <si>
    <t xml:space="preserve">VolumetricFog</t>
  </si>
  <si>
    <t xml:space="preserve">Translucency</t>
  </si>
  <si>
    <t xml:space="preserve">RayTracingScene</t>
  </si>
  <si>
    <t xml:space="preserve">Prepass</t>
  </si>
  <si>
    <t xml:space="preserve">DistanceFields</t>
  </si>
  <si>
    <t xml:space="preserve">LumenSceneUpdate</t>
  </si>
  <si>
    <t xml:space="preserve">GlobalDistanceFieldUpdate</t>
  </si>
  <si>
    <t xml:space="preserve">SkyAtmosphereLUTs</t>
  </si>
  <si>
    <t xml:space="preserve">Fog</t>
  </si>
  <si>
    <t xml:space="preserve">Estimated FPS (= 1000/TOTAL)</t>
  </si>
  <si>
    <r>
      <rPr>
        <b val="true"/>
        <sz val="11"/>
        <rFont val="DejaVu Sans"/>
        <family val="2"/>
      </rPr>
      <t xml:space="preserve">측정 조건</t>
    </r>
    <r>
      <rPr>
        <b val="true"/>
        <sz val="11"/>
        <rFont val="Arial"/>
        <family val="0"/>
        <charset val="1"/>
      </rPr>
      <t xml:space="preserve">:</t>
    </r>
  </si>
  <si>
    <t xml:space="preserve">· UE 5.5, Editor, stat gpu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</si>
  <si>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카메라 위치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각도 동일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같은 씬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</si>
  <si>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각 시나리오당 수십 프레임 </t>
    </r>
    <r>
      <rPr>
        <sz val="11"/>
        <color theme="1"/>
        <rFont val="Calibri"/>
        <family val="2"/>
        <charset val="1"/>
      </rPr>
      <t xml:space="preserve">Avg </t>
    </r>
    <r>
      <rPr>
        <sz val="11"/>
        <color theme="1"/>
        <rFont val="DejaVu Sans"/>
        <family val="2"/>
      </rPr>
      <t xml:space="preserve">값</t>
    </r>
  </si>
  <si>
    <r>
      <rPr>
        <sz val="11"/>
        <color theme="1"/>
        <rFont val="Calibri"/>
        <family val="2"/>
        <charset val="1"/>
      </rPr>
      <t xml:space="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</si>
  <si>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ml:space="preserve">시나리오 비교 및 최적화 효과 분석</t>
  </si>
  <si>
    <t xml:space="preserve">① Baseline (ms)</t>
  </si>
  <si>
    <r>
      <rPr>
        <b val="true"/>
        <sz val="11"/>
        <color rgb="FFFFFFFF"/>
        <rFont val="DejaVu Sans"/>
        <family val="2"/>
      </rPr>
      <t xml:space="preserve">② 최적화 </t>
    </r>
    <r>
      <rPr>
        <b val="true"/>
        <sz val="11"/>
        <color rgb="FFFFFFFF"/>
        <rFont val="Arial"/>
        <family val="0"/>
        <charset val="1"/>
      </rPr>
      <t xml:space="preserve">OFF (ms)</t>
    </r>
  </si>
  <si>
    <r>
      <rPr>
        <b val="true"/>
        <sz val="11"/>
        <color rgb="FFFFFFFF"/>
        <rFont val="DejaVu Sans"/>
        <family val="2"/>
      </rPr>
      <t xml:space="preserve">③ 최적화 </t>
    </r>
    <r>
      <rPr>
        <b val="true"/>
        <sz val="11"/>
        <color rgb="FFFFFFFF"/>
        <rFont val="Arial"/>
        <family val="0"/>
        <charset val="1"/>
      </rPr>
      <t xml:space="preserve">ON (ms)</t>
    </r>
  </si>
  <si>
    <r>
      <rPr>
        <b val="true"/>
        <sz val="11"/>
        <color rgb="FFFFFFFF"/>
        <rFont val="Arial"/>
        <family val="0"/>
        <charset val="1"/>
      </rPr>
      <t xml:space="preserve">② - ③ </t>
    </r>
    <r>
      <rPr>
        <b val="true"/>
        <sz val="11"/>
        <color rgb="FFFFFFFF"/>
        <rFont val="DejaVu Sans"/>
        <family val="2"/>
      </rPr>
      <t xml:space="preserve">절감 </t>
    </r>
    <r>
      <rPr>
        <b val="true"/>
        <sz val="11"/>
        <color rgb="FFFFFFFF"/>
        <rFont val="Arial"/>
        <family val="0"/>
        <charset val="1"/>
      </rPr>
      <t xml:space="preserve">(ms)</t>
    </r>
  </si>
  <si>
    <r>
      <rPr>
        <b val="true"/>
        <sz val="11"/>
        <color rgb="FFFFFFFF"/>
        <rFont val="DejaVu Sans"/>
        <family val="2"/>
      </rPr>
      <t xml:space="preserve">절감률 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</si>
  <si>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③ vs ① </t>
    </r>
    <r>
      <rPr>
        <b val="true"/>
        <sz val="11"/>
        <color rgb="FFFFFFFF"/>
        <rFont val="DejaVu Sans"/>
        <family val="2"/>
      </rPr>
      <t xml:space="preserve">오버헤드 </t>
    </r>
    <r>
      <rPr>
        <b val="true"/>
        <sz val="11"/>
        <color rgb="FFFFFFFF"/>
        <rFont val="Arial"/>
        <family val="0"/>
        <charset val="1"/>
      </rPr>
      <t xml:space="preserve">(ms)</t>
    </r>
  </si>
  <si>
    <t xml:space="preserve">핵심 성능 지표</t>
  </si>
  <si>
    <r>
      <rPr>
        <b val="true"/>
        <sz val="11"/>
        <rFont val="Arial"/>
        <family val="0"/>
        <charset val="1"/>
      </rPr>
      <t xml:space="preserve">GPU Frame Time </t>
    </r>
    <r>
      <rPr>
        <b val="true"/>
        <sz val="11"/>
        <rFont val="DejaVu Sans"/>
        <family val="2"/>
      </rPr>
      <t xml:space="preserve">절감 </t>
    </r>
    <r>
      <rPr>
        <b val="true"/>
        <sz val="11"/>
        <rFont val="Arial"/>
        <family val="0"/>
        <charset val="1"/>
      </rPr>
      <t xml:space="preserve">(②→③)</t>
    </r>
  </si>
  <si>
    <r>
      <rPr>
        <b val="true"/>
        <sz val="11"/>
        <rFont val="Arial"/>
        <family val="0"/>
        <charset val="1"/>
      </rPr>
      <t xml:space="preserve">GPU Frame Time </t>
    </r>
    <r>
      <rPr>
        <b val="true"/>
        <sz val="11"/>
        <rFont val="DejaVu Sans"/>
        <family val="2"/>
      </rPr>
      <t xml:space="preserve">절감률 </t>
    </r>
    <r>
      <rPr>
        <b val="true"/>
        <sz val="11"/>
        <rFont val="Arial"/>
        <family val="0"/>
        <charset val="1"/>
      </rPr>
      <t xml:space="preserve">(②→③)</t>
    </r>
  </si>
  <si>
    <r>
      <rPr>
        <b val="true"/>
        <sz val="11"/>
        <rFont val="Arial"/>
        <family val="0"/>
        <charset val="1"/>
      </rPr>
      <t xml:space="preserve">FPS </t>
    </r>
    <r>
      <rPr>
        <b val="true"/>
        <sz val="11"/>
        <rFont val="DejaVu Sans"/>
        <family val="2"/>
      </rPr>
      <t xml:space="preserve">개선 </t>
    </r>
    <r>
      <rPr>
        <b val="true"/>
        <sz val="11"/>
        <rFont val="Arial"/>
        <family val="0"/>
        <charset val="1"/>
      </rPr>
      <t xml:space="preserve">(②→③)</t>
    </r>
  </si>
  <si>
    <r>
      <rPr>
        <b val="true"/>
        <sz val="11"/>
        <rFont val="Arial"/>
        <family val="0"/>
        <charset val="1"/>
      </rPr>
      <t xml:space="preserve">FPS </t>
    </r>
    <r>
      <rPr>
        <b val="true"/>
        <sz val="11"/>
        <rFont val="DejaVu Sans"/>
        <family val="2"/>
      </rPr>
      <t xml:space="preserve">개선율 </t>
    </r>
    <r>
      <rPr>
        <b val="true"/>
        <sz val="11"/>
        <rFont val="Arial"/>
        <family val="0"/>
        <charset val="1"/>
      </rPr>
      <t xml:space="preserve">(②→③)</t>
    </r>
  </si>
  <si>
    <r>
      <rPr>
        <b val="true"/>
        <sz val="11"/>
        <rFont val="DejaVu Sans"/>
        <family val="2"/>
      </rPr>
      <t xml:space="preserve">포탈 오버헤드 감축 </t>
    </r>
    <r>
      <rPr>
        <b val="true"/>
        <sz val="11"/>
        <rFont val="Arial"/>
        <family val="0"/>
        <charset val="1"/>
      </rPr>
      <t xml:space="preserve">(②-① vs ③-①)</t>
    </r>
  </si>
  <si>
    <r>
      <rPr>
        <b val="true"/>
        <sz val="11"/>
        <rFont val="DejaVu Sans"/>
        <family val="2"/>
      </rPr>
      <t xml:space="preserve">포탈 잔여 오버헤드 </t>
    </r>
    <r>
      <rPr>
        <b val="true"/>
        <sz val="11"/>
        <rFont val="Arial"/>
        <family val="0"/>
        <charset val="1"/>
      </rPr>
      <t xml:space="preserve">(③ vs ①)</t>
    </r>
  </si>
  <si>
    <r>
      <rPr>
        <b val="true"/>
        <sz val="14"/>
        <color rgb="FFFFFFFF"/>
        <rFont val="DejaVu Sans"/>
        <family val="2"/>
      </rPr>
      <t xml:space="preserve">시각화 </t>
    </r>
    <r>
      <rPr>
        <b val="true"/>
        <sz val="14"/>
        <color rgb="FFFFFFFF"/>
        <rFont val="Arial"/>
        <family val="0"/>
        <charset val="1"/>
      </rPr>
      <t xml:space="preserve">- </t>
    </r>
    <r>
      <rPr>
        <b val="true"/>
        <sz val="14"/>
        <color rgb="FFFFFFFF"/>
        <rFont val="DejaVu Sans"/>
        <family val="2"/>
      </rPr>
      <t xml:space="preserve">성능 비교 차트</t>
    </r>
  </si>
  <si>
    <t xml:space="preserve">시나리오</t>
  </si>
  <si>
    <t xml:space="preserve">GPU Frame Time (ms)</t>
  </si>
  <si>
    <t xml:space="preserve">FPS</t>
  </si>
  <si>
    <r>
      <rPr>
        <sz val="11"/>
        <rFont val="Arial"/>
        <family val="0"/>
        <charset val="1"/>
      </rPr>
      <t xml:space="preserve">① Baseline (</t>
    </r>
    <r>
      <rPr>
        <sz val="11"/>
        <rFont val="DejaVu Sans"/>
        <family val="2"/>
      </rPr>
      <t xml:space="preserve">포탈 </t>
    </r>
    <r>
      <rPr>
        <sz val="11"/>
        <rFont val="Arial"/>
        <family val="0"/>
        <charset val="1"/>
      </rPr>
      <t xml:space="preserve">OFF)</t>
    </r>
  </si>
  <si>
    <r>
      <rPr>
        <sz val="11"/>
        <rFont val="DejaVu Sans"/>
        <family val="2"/>
      </rPr>
      <t xml:space="preserve">② 포탈 </t>
    </r>
    <r>
      <rPr>
        <sz val="11"/>
        <rFont val="Arial"/>
        <family val="0"/>
        <charset val="1"/>
      </rPr>
      <t xml:space="preserve">ON (</t>
    </r>
    <r>
      <rPr>
        <sz val="11"/>
        <rFont val="DejaVu Sans"/>
        <family val="2"/>
      </rPr>
      <t xml:space="preserve">최적화 없음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</si>
  <si>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③ 포탈 </t>
    </r>
    <r>
      <rPr>
        <sz val="11"/>
        <rFont val="Arial"/>
        <family val="0"/>
        <charset val="1"/>
      </rPr>
      <t xml:space="preserve">ON (</t>
    </r>
    <r>
      <rPr>
        <sz val="11"/>
        <rFont val="DejaVu Sans"/>
        <family val="2"/>
      </rPr>
      <t xml:space="preserve">최적화 적용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</si>
  <si>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DejaVu Sans"/>
        <family val="2"/>
      </rPr>
      <t xml:space="preserve">항목별 절감 비교 </t>
    </r>
    <r>
      <rPr>
        <b val="true"/>
        <sz val="12"/>
        <rFont val="Arial"/>
        <family val="0"/>
        <charset val="1"/>
      </rPr>
      <t xml:space="preserve">(②→③)</t>
    </r>
  </si>
  <si>
    <t xml:space="preserve">항목</t>
  </si>
  <si>
    <r>
      <rPr>
        <b val="true"/>
        <sz val="14"/>
        <color rgb="FFFFFFFF"/>
        <rFont val="DejaVu Sans"/>
        <family val="2"/>
      </rPr>
      <t xml:space="preserve">연구 결과 요약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논문</t>
    </r>
    <r>
      <rPr>
        <b val="true"/>
        <sz val="14"/>
        <color rgb="FFFFFFFF"/>
        <rFont val="Arial"/>
        <family val="0"/>
        <charset val="1"/>
      </rPr>
      <t xml:space="preserve">/</t>
    </r>
    <r>
      <rPr>
        <b val="true"/>
        <sz val="14"/>
        <color rgb="FFFFFFFF"/>
        <rFont val="DejaVu Sans"/>
        <family val="2"/>
      </rPr>
      <t xml:space="preserve">발표용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</si>
  <si>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연구 기여 </t>
    </r>
    <r>
      <rPr>
        <b val="true"/>
        <sz val="11"/>
        <color rgb="FFFFFFFF"/>
        <rFont val="Arial"/>
        <family val="0"/>
        <charset val="1"/>
      </rPr>
      <t xml:space="preserve">(Contribution)</t>
    </r>
  </si>
  <si>
    <t xml:space="preserve">내용</t>
  </si>
  <si>
    <r>
      <rPr>
        <sz val="11"/>
        <rFont val="Arial"/>
        <family val="0"/>
        <charset val="1"/>
      </rPr>
      <t xml:space="preserve">1. Portal Frustum Culling </t>
    </r>
    <r>
      <rPr>
        <sz val="11"/>
        <rFont val="DejaVu Sans"/>
        <family val="2"/>
      </rPr>
      <t xml:space="preserve">최적화 제안</t>
    </r>
  </si>
  <si>
    <r>
      <rPr>
        <sz val="11"/>
        <rFont val="DejaVu Sans"/>
        <family val="2"/>
      </rPr>
      <t xml:space="preserve">포탈 </t>
    </r>
    <r>
      <rPr>
        <sz val="11"/>
        <rFont val="Arial"/>
        <family val="0"/>
        <charset val="1"/>
      </rPr>
      <t xml:space="preserve">Frustum </t>
    </r>
    <r>
      <rPr>
        <sz val="11"/>
        <rFont val="DejaVu Sans"/>
        <family val="2"/>
      </rPr>
      <t xml:space="preserve">외부 오브젝트를 </t>
    </r>
    <r>
      <rPr>
        <sz val="11"/>
        <rFont val="Arial"/>
        <family val="0"/>
        <charset val="1"/>
      </rPr>
      <t xml:space="preserve">SceneCapture </t>
    </r>
    <r>
      <rPr>
        <sz val="11"/>
        <rFont val="DejaVu Sans"/>
        <family val="2"/>
      </rPr>
      <t xml:space="preserve">렌더링에서 제외함으로써 중복 렌더링 비용을 최소화</t>
    </r>
  </si>
  <si>
    <r>
      <rPr>
        <sz val="11"/>
        <rFont val="Arial"/>
        <family val="0"/>
        <charset val="1"/>
      </rPr>
      <t xml:space="preserve">2. UE 5.5 SceneCapture2D Lumen GI </t>
    </r>
    <r>
      <rPr>
        <sz val="11"/>
        <rFont val="DejaVu Sans"/>
        <family val="2"/>
      </rPr>
      <t xml:space="preserve">호환성 해결</t>
    </r>
  </si>
  <si>
    <r>
      <rPr>
        <sz val="11"/>
        <rFont val="DejaVu Sans"/>
        <family val="2"/>
      </rPr>
      <t xml:space="preserve">엔진 소스 역추적을 통해 </t>
    </r>
    <r>
      <rPr>
        <sz val="11"/>
        <rFont val="Arial"/>
        <family val="0"/>
        <charset val="1"/>
      </rPr>
      <t xml:space="preserve">ShowFlag/DynamicGI/ViewState 3</t>
    </r>
    <r>
      <rPr>
        <sz val="11"/>
        <rFont val="DejaVu Sans"/>
        <family val="2"/>
      </rPr>
      <t xml:space="preserve">조건을 충족시켜 </t>
    </r>
    <r>
      <rPr>
        <sz val="11"/>
        <rFont val="Arial"/>
        <family val="0"/>
        <charset val="1"/>
      </rPr>
      <t xml:space="preserve">SceneCapture</t>
    </r>
    <r>
      <rPr>
        <sz val="11"/>
        <rFont val="DejaVu Sans"/>
        <family val="2"/>
      </rPr>
      <t xml:space="preserve">에서 </t>
    </r>
    <r>
      <rPr>
        <sz val="11"/>
        <rFont val="Arial"/>
        <family val="0"/>
        <charset val="1"/>
      </rPr>
      <t xml:space="preserve">Lumen GI </t>
    </r>
    <r>
      <rPr>
        <sz val="11"/>
        <rFont val="DejaVu Sans"/>
        <family val="2"/>
      </rPr>
      <t xml:space="preserve">정상 동작</t>
    </r>
  </si>
  <si>
    <r>
      <rPr>
        <sz val="11"/>
        <rFont val="Arial"/>
        <family val="0"/>
        <charset val="1"/>
      </rPr>
      <t xml:space="preserve">3. Light Function Atlas </t>
    </r>
    <r>
      <rPr>
        <sz val="11"/>
        <rFont val="DejaVu Sans"/>
        <family val="2"/>
      </rPr>
      <t xml:space="preserve">크래시 대응</t>
    </r>
  </si>
  <si>
    <r>
      <rPr>
        <sz val="11"/>
        <rFont val="Arial"/>
        <family val="0"/>
        <charset val="1"/>
      </rPr>
      <t xml:space="preserve">ShaderParameterStruct.cpp</t>
    </r>
    <r>
      <rPr>
        <sz val="11"/>
        <rFont val="DejaVu Sans"/>
        <family val="2"/>
      </rPr>
      <t xml:space="preserve">의 </t>
    </r>
    <r>
      <rPr>
        <sz val="11"/>
        <rFont val="Arial"/>
        <family val="0"/>
        <charset val="1"/>
      </rPr>
      <t xml:space="preserve">fatal assertion</t>
    </r>
    <r>
      <rPr>
        <sz val="11"/>
        <rFont val="DejaVu Sans"/>
        <family val="2"/>
      </rPr>
      <t xml:space="preserve">을 </t>
    </r>
    <r>
      <rPr>
        <sz val="11"/>
        <rFont val="Arial"/>
        <family val="0"/>
        <charset val="1"/>
      </rPr>
      <t xml:space="preserve">recoverable warning</t>
    </r>
    <r>
      <rPr>
        <sz val="11"/>
        <rFont val="DejaVu Sans"/>
        <family val="2"/>
      </rPr>
      <t xml:space="preserve">으로 재분류하여 포탈 </t>
    </r>
    <r>
      <rPr>
        <sz val="11"/>
        <rFont val="Arial"/>
        <family val="0"/>
        <charset val="1"/>
      </rPr>
      <t xml:space="preserve">Post Process </t>
    </r>
    <r>
      <rPr>
        <sz val="11"/>
        <rFont val="DejaVu Sans"/>
        <family val="2"/>
      </rPr>
      <t xml:space="preserve">파이프라인 안정화</t>
    </r>
  </si>
  <si>
    <t xml:space="preserve">정량적 성능 평가 결과</t>
  </si>
  <si>
    <t xml:space="preserve">지표</t>
  </si>
  <si>
    <t xml:space="preserve">값</t>
  </si>
  <si>
    <t xml:space="preserve">단위</t>
  </si>
  <si>
    <t xml:space="preserve">Baseline GPU Time</t>
  </si>
  <si>
    <t xml:space="preserve">ms</t>
  </si>
  <si>
    <r>
      <rPr>
        <sz val="11"/>
        <rFont val="DejaVu Sans"/>
        <family val="2"/>
      </rPr>
      <t xml:space="preserve">포탈 </t>
    </r>
    <r>
      <rPr>
        <sz val="11"/>
        <rFont val="Arial"/>
        <family val="0"/>
        <charset val="1"/>
      </rPr>
      <t xml:space="preserve">ON + </t>
    </r>
    <r>
      <rPr>
        <sz val="11"/>
        <rFont val="DejaVu Sans"/>
        <family val="2"/>
      </rPr>
      <t xml:space="preserve">최적화 </t>
    </r>
    <r>
      <rPr>
        <sz val="11"/>
        <rFont val="Arial"/>
        <family val="0"/>
        <charset val="1"/>
      </rPr>
      <t xml:space="preserve">OFF</t>
    </r>
  </si>
  <si>
    <r>
      <rPr>
        <sz val="11"/>
        <rFont val="DejaVu Sans"/>
        <family val="2"/>
      </rPr>
      <t xml:space="preserve">포탈 </t>
    </r>
    <r>
      <rPr>
        <sz val="11"/>
        <rFont val="Arial"/>
        <family val="0"/>
        <charset val="1"/>
      </rPr>
      <t xml:space="preserve">ON + </t>
    </r>
    <r>
      <rPr>
        <sz val="11"/>
        <rFont val="DejaVu Sans"/>
        <family val="2"/>
      </rPr>
      <t xml:space="preserve">최적화 </t>
    </r>
    <r>
      <rPr>
        <sz val="11"/>
        <rFont val="Arial"/>
        <family val="0"/>
        <charset val="1"/>
      </rPr>
      <t xml:space="preserve">ON</t>
    </r>
  </si>
  <si>
    <r>
      <rPr>
        <sz val="11"/>
        <rFont val="Arial"/>
        <family val="0"/>
        <charset val="1"/>
      </rPr>
      <t xml:space="preserve">GPU </t>
    </r>
    <r>
      <rPr>
        <sz val="11"/>
        <rFont val="DejaVu Sans"/>
        <family val="2"/>
      </rPr>
      <t xml:space="preserve">시간 절감 </t>
    </r>
    <r>
      <rPr>
        <sz val="11"/>
        <rFont val="Arial"/>
        <family val="0"/>
        <charset val="1"/>
      </rPr>
      <t xml:space="preserve">(②→③)</t>
    </r>
  </si>
  <si>
    <r>
      <rPr>
        <sz val="11"/>
        <rFont val="Arial"/>
        <family val="0"/>
        <charset val="1"/>
      </rPr>
      <t xml:space="preserve">GPU </t>
    </r>
    <r>
      <rPr>
        <sz val="11"/>
        <rFont val="DejaVu Sans"/>
        <family val="2"/>
      </rPr>
      <t xml:space="preserve">시간 절감률 </t>
    </r>
    <r>
      <rPr>
        <sz val="11"/>
        <rFont val="Arial"/>
        <family val="0"/>
        <charset val="1"/>
      </rPr>
      <t xml:space="preserve">(②→③)</t>
    </r>
  </si>
  <si>
    <t xml:space="preserve">%</t>
  </si>
  <si>
    <t xml:space="preserve">포탈 오버헤드 감축률</t>
  </si>
  <si>
    <t xml:space="preserve">최적화 후 포탈 추가 비용</t>
  </si>
  <si>
    <r>
      <rPr>
        <sz val="11"/>
        <rFont val="Arial"/>
        <family val="0"/>
        <charset val="1"/>
      </rPr>
      <t xml:space="preserve">FPS </t>
    </r>
    <r>
      <rPr>
        <sz val="11"/>
        <rFont val="DejaVu Sans"/>
        <family val="2"/>
      </rPr>
      <t xml:space="preserve">개선 </t>
    </r>
    <r>
      <rPr>
        <sz val="11"/>
        <rFont val="Arial"/>
        <family val="0"/>
        <charset val="1"/>
      </rPr>
      <t xml:space="preserve">(②→③)</t>
    </r>
  </si>
  <si>
    <r>
      <rPr>
        <b val="true"/>
        <sz val="11"/>
        <color rgb="FFFFFFFF"/>
        <rFont val="DejaVu Sans"/>
        <family val="2"/>
      </rPr>
      <t xml:space="preserve">논문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발표용 한 줄 결론</t>
    </r>
  </si>
  <si>
    <r>
      <rPr>
        <sz val="11"/>
        <rFont val="DejaVu Sans"/>
        <family val="2"/>
      </rPr>
      <t xml:space="preserve">제안된 </t>
    </r>
    <r>
      <rPr>
        <sz val="11"/>
        <rFont val="Arial"/>
        <family val="0"/>
        <charset val="1"/>
      </rPr>
      <t xml:space="preserve">Portal Frustum Culling </t>
    </r>
    <r>
      <rPr>
        <sz val="11"/>
        <rFont val="DejaVu Sans"/>
        <family val="2"/>
      </rPr>
      <t xml:space="preserve">최적화는 포탈 기반 이중 씬 렌더링의 </t>
    </r>
    <r>
      <rPr>
        <sz val="11"/>
        <rFont val="Arial"/>
        <family val="0"/>
        <charset val="1"/>
      </rPr>
      <t xml:space="preserve">GPU </t>
    </r>
    <r>
      <rPr>
        <sz val="11"/>
        <rFont val="DejaVu Sans"/>
        <family val="2"/>
      </rPr>
      <t xml:space="preserve">오버헤드를 약 </t>
    </r>
    <r>
      <rPr>
        <sz val="11"/>
        <rFont val="Arial"/>
        <family val="0"/>
        <charset val="1"/>
      </rPr>
      <t xml:space="preserve">86% </t>
    </r>
    <r>
      <rPr>
        <sz val="11"/>
        <rFont val="DejaVu Sans"/>
        <family val="2"/>
      </rPr>
      <t xml:space="preserve">감축하여</t>
    </r>
    <r>
      <rPr>
        <sz val="11"/>
        <rFont val="Arial"/>
        <family val="0"/>
        <charset val="1"/>
      </rPr>
      <t xml:space="preserve">, </t>
    </r>
    <r>
      <rPr>
        <sz val="11"/>
        <rFont val="DejaVu Sans"/>
        <family val="2"/>
      </rPr>
      <t xml:space="preserve">포탈 활성화 시 </t>
    </r>
    <r>
      <rPr>
        <sz val="11"/>
        <rFont val="Arial"/>
        <family val="0"/>
        <charset val="1"/>
      </rPr>
      <t xml:space="preserve">GPU </t>
    </r>
    <r>
      <rPr>
        <sz val="11"/>
        <rFont val="DejaVu Sans"/>
        <family val="2"/>
      </rPr>
      <t xml:space="preserve">프레임타임을 </t>
    </r>
    <r>
      <rPr>
        <sz val="11"/>
        <rFont val="Arial"/>
        <family val="0"/>
        <charset val="1"/>
      </rPr>
      <t xml:space="preserve">60.91ms → 34.66ms (▼43.1%)</t>
    </r>
    <r>
      <rPr>
        <sz val="11"/>
        <rFont val="DejaVu Sans"/>
        <family val="2"/>
      </rPr>
      <t xml:space="preserve">로 개선하였다</t>
    </r>
    <r>
      <rPr>
        <sz val="11"/>
        <rFont val="Arial"/>
        <family val="0"/>
        <charset val="1"/>
      </rPr>
      <t xml:space="preserve">. </t>
    </r>
    <r>
      <rPr>
        <sz val="11"/>
        <rFont val="DejaVu Sans"/>
        <family val="2"/>
      </rPr>
      <t xml:space="preserve">이는 기존 렌더링 대비 약 </t>
    </r>
    <r>
      <rPr>
        <sz val="11"/>
        <rFont val="Arial"/>
        <family val="0"/>
        <charset val="1"/>
      </rPr>
      <t xml:space="preserve">14% </t>
    </r>
    <r>
      <rPr>
        <sz val="11"/>
        <rFont val="DejaVu Sans"/>
        <family val="2"/>
      </rPr>
      <t xml:space="preserve">수준의 오버헤드만으로 포탈 기능을 제공함을 의미한다</t>
    </r>
    <r>
      <rPr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</si>
</sst>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%"/>
    <numFmt numFmtId="168" formatCode="0.00&quot; ms&quot;"/>
    <numFmt numFmtId="169" formatCode="0.0&quot; FPS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DejaVu Sans"/>
      <family val="2"/>
    </font>
    <font>
      <sz val="11"/>
      <color theme="1"/>
      <name val="DejaVu Sans"/>
      <family val="2"/>
    </font>
    <font>
      <b val="true"/>
      <sz val="12"/>
      <color rgb="FFFFFFFF"/>
      <name val="DejaVu Sans"/>
      <family val="2"/>
    </font>
    <font>
      <sz val="11"/>
      <name val="DejaVu Sans"/>
      <family val="2"/>
    </font>
    <font>
      <b val="true"/>
      <sz val="12"/>
      <name val="DejaVu Sans"/>
      <family val="2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FFF2CC"/>
        <bgColor rgb="FFF9F9F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AB4744"/>
      <rgbColor rgb="FFFFF2CC"/>
      <rgbColor rgb="FFF9F9F9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GPU Frame Time 비교 (Avg, ms) - 낮을수록 좋음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Charts'!B3</c:f>
              <c:strCache>
                <c:ptCount val="1"/>
                <c:pt idx="0">
                  <c:v>GPU Frame Time (ms)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Charts'!$A$4:$A$6</c:f>
              <c:strCache>
                <c:ptCount val="3"/>
                <c:pt idx="0">
                  <c:v>① Baseline (포탈 OFF)</c:v>
                </c:pt>
                <c:pt idx="1">
                  <c:v>② 포탈 ON (최적화 없음)</c:v>
                </c:pt>
                <c:pt idx="2">
                  <c:v>③ 포탈 ON (최적화 적용)</c:v>
                </c:pt>
              </c:strCache>
            </c:strRef>
          </c:cat>
          <c:val>
            <c:numRef>
              <c:f>'3. Charts'!$B$4:$B$6</c:f>
              <c:numCache>
                <c:formatCode>0.00</c:formatCode>
                <c:ptCount val="3"/>
                <c:pt idx="0">
                  <c:v>30.41</c:v>
                </c:pt>
                <c:pt idx="1">
                  <c:v>60.91</c:v>
                </c:pt>
                <c:pt idx="2">
                  <c:v>34.66</c:v>
                </c:pt>
              </c:numCache>
            </c:numRef>
          </c:val>
        </c:ser>
        <c:gapWidth val="150"/>
        <c:overlap val="0"/>
        <c:axId val="27048900"/>
        <c:axId val="37091234"/>
      </c:barChart>
      <c:catAx>
        <c:axId val="270489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시나리오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091234"/>
        <c:crosses val="autoZero"/>
        <c:auto val="1"/>
        <c:lblAlgn val="ctr"/>
        <c:lblOffset val="100"/>
        <c:noMultiLvlLbl val="0"/>
      </c:catAx>
      <c:valAx>
        <c:axId val="37091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GPU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0489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항목별 GPU 시간 - 최적화 전후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'3. Charts'!B23</c:f>
              <c:strCache>
                <c:ptCount val="1"/>
                <c:pt idx="0">
                  <c:v>② 최적화 OFF (ms)</c:v>
                </c:pt>
              </c:strCache>
            </c:strRef>
          </c:tx>
          <c:spPr>
            <a:solidFill>
              <a:srgbClr val="AB474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Charts'!$A$24:$A$33</c:f>
              <c:strCache>
                <c:ptCount val="10"/>
                <c:pt idx="0">
                  <c:v>[TOTAL]</c:v>
                </c:pt>
                <c:pt idx="1">
                  <c:v>Shadow Projection</c:v>
                </c:pt>
                <c:pt idx="2">
                  <c:v>Shadow Depths</c:v>
                </c:pt>
                <c:pt idx="3">
                  <c:v>LumenScreenProbeGather</c:v>
                </c:pt>
                <c:pt idx="4">
                  <c:v>LumenSceneLighting</c:v>
                </c:pt>
                <c:pt idx="5">
                  <c:v>Basepass</c:v>
                </c:pt>
                <c:pt idx="6">
                  <c:v>RenderDeferredLighting</c:v>
                </c:pt>
                <c:pt idx="7">
                  <c:v>[unaccounted]</c:v>
                </c:pt>
                <c:pt idx="8">
                  <c:v>Postprocessing</c:v>
                </c:pt>
                <c:pt idx="9">
                  <c:v>Render Velocities</c:v>
                </c:pt>
              </c:strCache>
            </c:strRef>
          </c:cat>
          <c:val>
            <c:numRef>
              <c:f>'3. Charts'!$B$24:$B$33</c:f>
              <c:numCache>
                <c:formatCode>0.00</c:formatCode>
                <c:ptCount val="10"/>
                <c:pt idx="0">
                  <c:v>60.91</c:v>
                </c:pt>
                <c:pt idx="1">
                  <c:v>15.41</c:v>
                </c:pt>
                <c:pt idx="2">
                  <c:v>10.49</c:v>
                </c:pt>
                <c:pt idx="3">
                  <c:v>7.2</c:v>
                </c:pt>
                <c:pt idx="4">
                  <c:v>2.17</c:v>
                </c:pt>
                <c:pt idx="5">
                  <c:v>4.54</c:v>
                </c:pt>
                <c:pt idx="6">
                  <c:v>2.42</c:v>
                </c:pt>
                <c:pt idx="7">
                  <c:v>3.17</c:v>
                </c:pt>
                <c:pt idx="8">
                  <c:v>2.79</c:v>
                </c:pt>
                <c:pt idx="9">
                  <c:v>2.48</c:v>
                </c:pt>
              </c:numCache>
            </c:numRef>
          </c:val>
        </c:ser>
        <c:ser>
          <c:idx val="1"/>
          <c:order val="1"/>
          <c:tx>
            <c:strRef>
              <c:f>'3. Charts'!C23</c:f>
              <c:strCache>
                <c:ptCount val="1"/>
                <c:pt idx="0">
                  <c:v>③ 최적화 ON (ms)</c:v>
                </c:pt>
              </c:strCache>
            </c:strRef>
          </c:tx>
          <c:spPr>
            <a:solidFill>
              <a:srgbClr val="D094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Charts'!$A$24:$A$33</c:f>
              <c:strCache>
                <c:ptCount val="10"/>
                <c:pt idx="0">
                  <c:v>[TOTAL]</c:v>
                </c:pt>
                <c:pt idx="1">
                  <c:v>Shadow Projection</c:v>
                </c:pt>
                <c:pt idx="2">
                  <c:v>Shadow Depths</c:v>
                </c:pt>
                <c:pt idx="3">
                  <c:v>LumenScreenProbeGather</c:v>
                </c:pt>
                <c:pt idx="4">
                  <c:v>LumenSceneLighting</c:v>
                </c:pt>
                <c:pt idx="5">
                  <c:v>Basepass</c:v>
                </c:pt>
                <c:pt idx="6">
                  <c:v>RenderDeferredLighting</c:v>
                </c:pt>
                <c:pt idx="7">
                  <c:v>[unaccounted]</c:v>
                </c:pt>
                <c:pt idx="8">
                  <c:v>Postprocessing</c:v>
                </c:pt>
                <c:pt idx="9">
                  <c:v>Render Velocities</c:v>
                </c:pt>
              </c:strCache>
            </c:strRef>
          </c:cat>
          <c:val>
            <c:numRef>
              <c:f>'3. Charts'!$C$24:$C$33</c:f>
              <c:numCache>
                <c:formatCode>0.00</c:formatCode>
                <c:ptCount val="10"/>
                <c:pt idx="0">
                  <c:v>34.66</c:v>
                </c:pt>
                <c:pt idx="1">
                  <c:v>7.7</c:v>
                </c:pt>
                <c:pt idx="2">
                  <c:v>5.78</c:v>
                </c:pt>
                <c:pt idx="3">
                  <c:v>4.51</c:v>
                </c:pt>
                <c:pt idx="4">
                  <c:v>0.18</c:v>
                </c:pt>
                <c:pt idx="5">
                  <c:v>3.21</c:v>
                </c:pt>
                <c:pt idx="6">
                  <c:v>1.15</c:v>
                </c:pt>
                <c:pt idx="7">
                  <c:v>2.09</c:v>
                </c:pt>
                <c:pt idx="8">
                  <c:v>1.87</c:v>
                </c:pt>
                <c:pt idx="9">
                  <c:v>1.64</c:v>
                </c:pt>
              </c:numCache>
            </c:numRef>
          </c:val>
        </c:ser>
        <c:gapWidth val="150"/>
        <c:overlap val="0"/>
        <c:axId val="92634993"/>
        <c:axId val="51082937"/>
      </c:barChart>
      <c:catAx>
        <c:axId val="9263499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GPU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082937"/>
        <c:crosses val="autoZero"/>
        <c:auto val="1"/>
        <c:lblAlgn val="ctr"/>
        <c:lblOffset val="100"/>
        <c:noMultiLvlLbl val="0"/>
      </c:catAx>
      <c:valAx>
        <c:axId val="51082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GPU 항목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349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16</xdr:col>
      <xdr:colOff>581760</xdr:colOff>
      <xdr:row>20</xdr:row>
      <xdr:rowOff>170640</xdr:rowOff>
    </xdr:to>
    <xdr:graphicFrame>
      <xdr:nvGraphicFramePr>
        <xdr:cNvPr id="1" name="Chart 1"/>
        <xdr:cNvGraphicFramePr/>
      </xdr:nvGraphicFramePr>
      <xdr:xfrm>
        <a:off x="5968440" y="4953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16</xdr:col>
      <xdr:colOff>581760</xdr:colOff>
      <xdr:row>45</xdr:row>
      <xdr:rowOff>107640</xdr:rowOff>
    </xdr:to>
    <xdr:graphicFrame>
      <xdr:nvGraphicFramePr>
        <xdr:cNvPr id="2" name="Chart 2"/>
        <xdr:cNvGraphicFramePr/>
      </xdr:nvGraphicFramePr>
      <xdr:xfrm>
        <a:off x="5968440" y="41148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6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n">
        <v>30.41</v>
      </c>
      <c r="C3" s="4" t="n">
        <v>60.91</v>
      </c>
      <c r="D3" s="4" t="n">
        <v>34.66</v>
      </c>
    </row>
    <row r="4" customFormat="false" ht="15" hidden="false" customHeight="false" outlineLevel="0" collapsed="false">
      <c r="A4" s="5" t="s">
        <v>6</v>
      </c>
      <c r="B4" s="6" t="n">
        <v>6.73</v>
      </c>
      <c r="C4" s="6" t="n">
        <v>15.41</v>
      </c>
      <c r="D4" s="6" t="n">
        <v>7.7</v>
      </c>
    </row>
    <row r="5" customFormat="false" ht="15" hidden="false" customHeight="false" outlineLevel="0" collapsed="false">
      <c r="A5" s="5" t="s">
        <v>7</v>
      </c>
      <c r="B5" s="6" t="n">
        <v>3.4</v>
      </c>
      <c r="C5" s="6" t="n">
        <v>10.49</v>
      </c>
      <c r="D5" s="6" t="n">
        <v>5.78</v>
      </c>
    </row>
    <row r="6" customFormat="false" ht="15" hidden="false" customHeight="false" outlineLevel="0" collapsed="false">
      <c r="A6" s="5" t="s">
        <v>8</v>
      </c>
      <c r="B6" s="6" t="n">
        <v>4.9</v>
      </c>
      <c r="C6" s="6" t="n">
        <v>7.2</v>
      </c>
      <c r="D6" s="6" t="n">
        <v>4.51</v>
      </c>
    </row>
    <row r="7" customFormat="false" ht="15" hidden="false" customHeight="false" outlineLevel="0" collapsed="false">
      <c r="A7" s="5" t="s">
        <v>9</v>
      </c>
      <c r="B7" s="6" t="n">
        <v>3.07</v>
      </c>
      <c r="C7" s="6" t="n">
        <v>4.54</v>
      </c>
      <c r="D7" s="6" t="n">
        <v>3.21</v>
      </c>
    </row>
    <row r="8" customFormat="false" ht="15" hidden="false" customHeight="false" outlineLevel="0" collapsed="false">
      <c r="A8" s="5" t="s">
        <v>10</v>
      </c>
      <c r="B8" s="6" t="n">
        <v>1.05</v>
      </c>
      <c r="C8" s="6" t="n">
        <v>3.17</v>
      </c>
      <c r="D8" s="6" t="n">
        <v>2.09</v>
      </c>
    </row>
    <row r="9" customFormat="false" ht="15" hidden="false" customHeight="false" outlineLevel="0" collapsed="false">
      <c r="A9" s="5" t="s">
        <v>11</v>
      </c>
      <c r="B9" s="6" t="n">
        <v>2.01</v>
      </c>
      <c r="C9" s="6" t="n">
        <v>2.48</v>
      </c>
      <c r="D9" s="6" t="n">
        <v>1.64</v>
      </c>
    </row>
    <row r="10" customFormat="false" ht="15" hidden="false" customHeight="false" outlineLevel="0" collapsed="false">
      <c r="A10" s="5" t="s">
        <v>12</v>
      </c>
      <c r="B10" s="6" t="n">
        <v>1.87</v>
      </c>
      <c r="C10" s="6" t="n">
        <v>2.79</v>
      </c>
      <c r="D10" s="6" t="n">
        <v>1.87</v>
      </c>
    </row>
    <row r="11" customFormat="false" ht="15" hidden="false" customHeight="false" outlineLevel="0" collapsed="false">
      <c r="A11" s="5" t="s">
        <v>13</v>
      </c>
      <c r="B11" s="6" t="n">
        <v>1</v>
      </c>
      <c r="C11" s="6" t="n">
        <v>2.42</v>
      </c>
      <c r="D11" s="6" t="n">
        <v>1.15</v>
      </c>
    </row>
    <row r="12" customFormat="false" ht="15" hidden="false" customHeight="false" outlineLevel="0" collapsed="false">
      <c r="A12" s="5" t="s">
        <v>14</v>
      </c>
      <c r="B12" s="6" t="n">
        <v>0.95</v>
      </c>
      <c r="C12" s="6" t="n">
        <v>1.28</v>
      </c>
      <c r="D12" s="6" t="n">
        <v>1.22</v>
      </c>
    </row>
    <row r="13" customFormat="false" ht="15" hidden="false" customHeight="false" outlineLevel="0" collapsed="false">
      <c r="A13" s="5" t="s">
        <v>15</v>
      </c>
      <c r="B13" s="6" t="n">
        <v>0.91</v>
      </c>
      <c r="C13" s="6" t="n">
        <v>0.9</v>
      </c>
      <c r="D13" s="6" t="n">
        <v>0.72</v>
      </c>
    </row>
    <row r="14" customFormat="false" ht="15" hidden="false" customHeight="false" outlineLevel="0" collapsed="false">
      <c r="A14" s="5" t="s">
        <v>16</v>
      </c>
      <c r="B14" s="6" t="n">
        <v>0.54</v>
      </c>
      <c r="C14" s="6" t="n">
        <v>2.17</v>
      </c>
      <c r="D14" s="6" t="n">
        <v>0.18</v>
      </c>
    </row>
    <row r="15" customFormat="false" ht="15" hidden="false" customHeight="false" outlineLevel="0" collapsed="false">
      <c r="A15" s="5" t="s">
        <v>17</v>
      </c>
      <c r="B15" s="6" t="n">
        <v>0.48</v>
      </c>
      <c r="C15" s="6" t="n">
        <v>1.07</v>
      </c>
      <c r="D15" s="6" t="n">
        <v>0.57</v>
      </c>
    </row>
    <row r="16" customFormat="false" ht="15" hidden="false" customHeight="false" outlineLevel="0" collapsed="false">
      <c r="A16" s="5" t="s">
        <v>18</v>
      </c>
      <c r="B16" s="6" t="n">
        <v>0.45</v>
      </c>
      <c r="C16" s="6" t="n">
        <v>0.7</v>
      </c>
      <c r="D16" s="6" t="n">
        <v>0.39</v>
      </c>
    </row>
    <row r="17" customFormat="false" ht="15" hidden="false" customHeight="false" outlineLevel="0" collapsed="false">
      <c r="A17" s="5" t="s">
        <v>19</v>
      </c>
      <c r="B17" s="6" t="n">
        <v>0.36</v>
      </c>
      <c r="C17" s="6" t="n">
        <v>0.52</v>
      </c>
      <c r="D17" s="6" t="n">
        <v>0.3</v>
      </c>
    </row>
    <row r="18" customFormat="false" ht="15" hidden="false" customHeight="false" outlineLevel="0" collapsed="false">
      <c r="A18" s="5" t="s">
        <v>20</v>
      </c>
      <c r="B18" s="6" t="n">
        <v>0.34</v>
      </c>
      <c r="C18" s="6" t="n">
        <v>0.74</v>
      </c>
      <c r="D18" s="6" t="n">
        <v>0.28</v>
      </c>
    </row>
    <row r="19" customFormat="false" ht="15" hidden="false" customHeight="false" outlineLevel="0" collapsed="false">
      <c r="A19" s="5" t="s">
        <v>21</v>
      </c>
      <c r="B19" s="6" t="n">
        <v>0.21</v>
      </c>
      <c r="C19" s="6" t="n">
        <v>0.96</v>
      </c>
      <c r="D19" s="6" t="n">
        <v>0.72</v>
      </c>
    </row>
    <row r="20" customFormat="false" ht="15" hidden="false" customHeight="false" outlineLevel="0" collapsed="false">
      <c r="A20" s="5" t="s">
        <v>22</v>
      </c>
      <c r="B20" s="6" t="n">
        <v>0.16</v>
      </c>
      <c r="C20" s="6" t="n">
        <v>0.63</v>
      </c>
      <c r="D20" s="6" t="n">
        <v>0.39</v>
      </c>
    </row>
    <row r="21" customFormat="false" ht="15" hidden="false" customHeight="false" outlineLevel="0" collapsed="false">
      <c r="A21" s="5" t="s">
        <v>23</v>
      </c>
      <c r="B21" s="6" t="n">
        <v>0.58</v>
      </c>
      <c r="C21" s="6" t="n">
        <v>0.63</v>
      </c>
      <c r="D21" s="6" t="n">
        <v>0.43</v>
      </c>
    </row>
    <row r="22" customFormat="false" ht="15" hidden="false" customHeight="false" outlineLevel="0" collapsed="false">
      <c r="A22" s="5" t="s">
        <v>24</v>
      </c>
      <c r="B22" s="6" t="n">
        <v>0.12</v>
      </c>
      <c r="C22" s="6" t="n">
        <v>0.8</v>
      </c>
      <c r="D22" s="6" t="n">
        <v>0.21</v>
      </c>
    </row>
    <row r="23" customFormat="false" ht="15" hidden="false" customHeight="false" outlineLevel="0" collapsed="false">
      <c r="A23" s="5" t="s">
        <v>25</v>
      </c>
      <c r="B23" s="6" t="n">
        <v>0.25</v>
      </c>
      <c r="C23" s="6" t="n">
        <v>0.2</v>
      </c>
      <c r="D23" s="6" t="n">
        <v>0.2</v>
      </c>
    </row>
    <row r="24" customFormat="false" ht="15" hidden="false" customHeight="false" outlineLevel="0" collapsed="false">
      <c r="A24" s="3" t="s">
        <v>26</v>
      </c>
      <c r="B24" s="7" t="n">
        <f aca="false">1000/B3</f>
        <v>32.8839197632358</v>
      </c>
      <c r="C24" s="7" t="n">
        <f aca="false">1000/C3</f>
        <v>16.417665407979</v>
      </c>
      <c r="D24" s="7" t="n">
        <f aca="false">1000/D3</f>
        <v>28.8517022504328</v>
      </c>
    </row>
    <row r="26" customFormat="false" ht="15" hidden="false" customHeight="false" outlineLevel="0" collapsed="false">
      <c r="A26" s="8" t="s">
        <v>27</v>
      </c>
    </row>
    <row r="27" customFormat="false" ht="15" hidden="false" customHeight="false" outlineLevel="0" collapsed="false">
      <c r="A27" s="0" t="s">
        <v>28</v>
      </c>
    </row>
    <row r="28" customFormat="false" ht="15" hidden="false" customHeight="false" outlineLevel="0" collapsed="false">
      <c r="A28" s="0" t="s">
        <v>29</v>
      </c>
    </row>
    <row r="29" customFormat="false" ht="15" hidden="false" customHeight="false" outlineLevel="0" collapsed="false">
      <c r="A29" s="0" t="s">
        <v>30</v>
      </c>
    </row>
    <row r="30" customFormat="false" ht="15" hidden="false" customHeight="false" outlineLevel="0" collapsed="false">
      <c r="A30" s="0" t="s">
        <v>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21"/>
  </cols>
  <sheetData>
    <row r="1" customFormat="false" ht="24" hidden="false" customHeight="true" outlineLevel="0" collapsed="false">
      <c r="A1" s="1" t="s">
        <v>32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1</v>
      </c>
      <c r="B2" s="2" t="s">
        <v>33</v>
      </c>
      <c r="C2" s="9" t="s">
        <v>34</v>
      </c>
      <c r="D2" s="9" t="s">
        <v>35</v>
      </c>
      <c r="E2" s="2" t="s">
        <v>36</v>
      </c>
      <c r="F2" s="9" t="s">
        <v>37</v>
      </c>
      <c r="G2" s="2" t="s">
        <v>38</v>
      </c>
    </row>
    <row r="3" customFormat="false" ht="15" hidden="false" customHeight="false" outlineLevel="0" collapsed="false">
      <c r="A3" s="3" t="s">
        <v>5</v>
      </c>
      <c r="B3" s="4" t="n">
        <v>30.41</v>
      </c>
      <c r="C3" s="4" t="n">
        <v>60.91</v>
      </c>
      <c r="D3" s="4" t="n">
        <v>34.66</v>
      </c>
      <c r="E3" s="4" t="n">
        <f aca="false">C3-D3</f>
        <v>26.25</v>
      </c>
      <c r="F3" s="10" t="n">
        <f aca="false">IF(C3=0,0,(C3-D3)/C3)</f>
        <v>0.430963716959448</v>
      </c>
      <c r="G3" s="4" t="n">
        <f aca="false">D3-B3</f>
        <v>4.25</v>
      </c>
    </row>
    <row r="4" customFormat="false" ht="15" hidden="false" customHeight="false" outlineLevel="0" collapsed="false">
      <c r="A4" s="5" t="s">
        <v>6</v>
      </c>
      <c r="B4" s="6" t="n">
        <v>6.73</v>
      </c>
      <c r="C4" s="6" t="n">
        <v>15.41</v>
      </c>
      <c r="D4" s="6" t="n">
        <v>7.7</v>
      </c>
      <c r="E4" s="6" t="n">
        <f aca="false">C4-D4</f>
        <v>7.71</v>
      </c>
      <c r="F4" s="11" t="n">
        <f aca="false">IF(C4=0,0,(C4-D4)/C4)</f>
        <v>0.500324464633355</v>
      </c>
      <c r="G4" s="6" t="n">
        <f aca="false">D4-B4</f>
        <v>0.97</v>
      </c>
    </row>
    <row r="5" customFormat="false" ht="15" hidden="false" customHeight="false" outlineLevel="0" collapsed="false">
      <c r="A5" s="5" t="s">
        <v>7</v>
      </c>
      <c r="B5" s="6" t="n">
        <v>3.4</v>
      </c>
      <c r="C5" s="6" t="n">
        <v>10.49</v>
      </c>
      <c r="D5" s="6" t="n">
        <v>5.78</v>
      </c>
      <c r="E5" s="6" t="n">
        <f aca="false">C5-D5</f>
        <v>4.71</v>
      </c>
      <c r="F5" s="11" t="n">
        <f aca="false">IF(C5=0,0,(C5-D5)/C5)</f>
        <v>0.448999046711154</v>
      </c>
      <c r="G5" s="6" t="n">
        <f aca="false">D5-B5</f>
        <v>2.38</v>
      </c>
    </row>
    <row r="6" customFormat="false" ht="15" hidden="false" customHeight="false" outlineLevel="0" collapsed="false">
      <c r="A6" s="5" t="s">
        <v>8</v>
      </c>
      <c r="B6" s="6" t="n">
        <v>4.9</v>
      </c>
      <c r="C6" s="6" t="n">
        <v>7.2</v>
      </c>
      <c r="D6" s="6" t="n">
        <v>4.51</v>
      </c>
      <c r="E6" s="6" t="n">
        <f aca="false">C6-D6</f>
        <v>2.69</v>
      </c>
      <c r="F6" s="11" t="n">
        <f aca="false">IF(C6=0,0,(C6-D6)/C6)</f>
        <v>0.373611111111111</v>
      </c>
      <c r="G6" s="6" t="n">
        <f aca="false">D6-B6</f>
        <v>-0.390000000000001</v>
      </c>
    </row>
    <row r="7" customFormat="false" ht="15" hidden="false" customHeight="false" outlineLevel="0" collapsed="false">
      <c r="A7" s="5" t="s">
        <v>9</v>
      </c>
      <c r="B7" s="6" t="n">
        <v>3.07</v>
      </c>
      <c r="C7" s="6" t="n">
        <v>4.54</v>
      </c>
      <c r="D7" s="6" t="n">
        <v>3.21</v>
      </c>
      <c r="E7" s="6" t="n">
        <f aca="false">C7-D7</f>
        <v>1.33</v>
      </c>
      <c r="F7" s="11" t="n">
        <f aca="false">IF(C7=0,0,(C7-D7)/C7)</f>
        <v>0.29295154185022</v>
      </c>
      <c r="G7" s="6" t="n">
        <f aca="false">D7-B7</f>
        <v>0.14</v>
      </c>
    </row>
    <row r="8" customFormat="false" ht="15" hidden="false" customHeight="false" outlineLevel="0" collapsed="false">
      <c r="A8" s="5" t="s">
        <v>10</v>
      </c>
      <c r="B8" s="6" t="n">
        <v>1.05</v>
      </c>
      <c r="C8" s="6" t="n">
        <v>3.17</v>
      </c>
      <c r="D8" s="6" t="n">
        <v>2.09</v>
      </c>
      <c r="E8" s="6" t="n">
        <f aca="false">C8-D8</f>
        <v>1.08</v>
      </c>
      <c r="F8" s="11" t="n">
        <f aca="false">IF(C8=0,0,(C8-D8)/C8)</f>
        <v>0.340694006309148</v>
      </c>
      <c r="G8" s="6" t="n">
        <f aca="false">D8-B8</f>
        <v>1.04</v>
      </c>
    </row>
    <row r="9" customFormat="false" ht="15" hidden="false" customHeight="false" outlineLevel="0" collapsed="false">
      <c r="A9" s="5" t="s">
        <v>11</v>
      </c>
      <c r="B9" s="6" t="n">
        <v>2.01</v>
      </c>
      <c r="C9" s="6" t="n">
        <v>2.48</v>
      </c>
      <c r="D9" s="6" t="n">
        <v>1.64</v>
      </c>
      <c r="E9" s="6" t="n">
        <f aca="false">C9-D9</f>
        <v>0.84</v>
      </c>
      <c r="F9" s="11" t="n">
        <f aca="false">IF(C9=0,0,(C9-D9)/C9)</f>
        <v>0.338709677419355</v>
      </c>
      <c r="G9" s="6" t="n">
        <f aca="false">D9-B9</f>
        <v>-0.37</v>
      </c>
    </row>
    <row r="10" customFormat="false" ht="15" hidden="false" customHeight="false" outlineLevel="0" collapsed="false">
      <c r="A10" s="5" t="s">
        <v>12</v>
      </c>
      <c r="B10" s="6" t="n">
        <v>1.87</v>
      </c>
      <c r="C10" s="6" t="n">
        <v>2.79</v>
      </c>
      <c r="D10" s="6" t="n">
        <v>1.87</v>
      </c>
      <c r="E10" s="6" t="n">
        <f aca="false">C10-D10</f>
        <v>0.92</v>
      </c>
      <c r="F10" s="11" t="n">
        <f aca="false">IF(C10=0,0,(C10-D10)/C10)</f>
        <v>0.329749103942652</v>
      </c>
      <c r="G10" s="6" t="n">
        <f aca="false">D10-B10</f>
        <v>0</v>
      </c>
    </row>
    <row r="11" customFormat="false" ht="15" hidden="false" customHeight="false" outlineLevel="0" collapsed="false">
      <c r="A11" s="5" t="s">
        <v>13</v>
      </c>
      <c r="B11" s="6" t="n">
        <v>1</v>
      </c>
      <c r="C11" s="6" t="n">
        <v>2.42</v>
      </c>
      <c r="D11" s="6" t="n">
        <v>1.15</v>
      </c>
      <c r="E11" s="6" t="n">
        <f aca="false">C11-D11</f>
        <v>1.27</v>
      </c>
      <c r="F11" s="11" t="n">
        <f aca="false">IF(C11=0,0,(C11-D11)/C11)</f>
        <v>0.524793388429752</v>
      </c>
      <c r="G11" s="6" t="n">
        <f aca="false">D11-B11</f>
        <v>0.15</v>
      </c>
    </row>
    <row r="12" customFormat="false" ht="15" hidden="false" customHeight="false" outlineLevel="0" collapsed="false">
      <c r="A12" s="5" t="s">
        <v>14</v>
      </c>
      <c r="B12" s="6" t="n">
        <v>0.95</v>
      </c>
      <c r="C12" s="6" t="n">
        <v>1.28</v>
      </c>
      <c r="D12" s="6" t="n">
        <v>1.22</v>
      </c>
      <c r="E12" s="6" t="n">
        <f aca="false">C12-D12</f>
        <v>0.0600000000000001</v>
      </c>
      <c r="F12" s="11" t="n">
        <f aca="false">IF(C12=0,0,(C12-D12)/C12)</f>
        <v>0.046875</v>
      </c>
      <c r="G12" s="6" t="n">
        <f aca="false">D12-B12</f>
        <v>0.27</v>
      </c>
    </row>
    <row r="13" customFormat="false" ht="15" hidden="false" customHeight="false" outlineLevel="0" collapsed="false">
      <c r="A13" s="5" t="s">
        <v>15</v>
      </c>
      <c r="B13" s="6" t="n">
        <v>0.91</v>
      </c>
      <c r="C13" s="6" t="n">
        <v>0.9</v>
      </c>
      <c r="D13" s="6" t="n">
        <v>0.72</v>
      </c>
      <c r="E13" s="6" t="n">
        <f aca="false">C13-D13</f>
        <v>0.18</v>
      </c>
      <c r="F13" s="11" t="n">
        <f aca="false">IF(C13=0,0,(C13-D13)/C13)</f>
        <v>0.2</v>
      </c>
      <c r="G13" s="6" t="n">
        <f aca="false">D13-B13</f>
        <v>-0.19</v>
      </c>
    </row>
    <row r="14" customFormat="false" ht="15" hidden="false" customHeight="false" outlineLevel="0" collapsed="false">
      <c r="A14" s="5" t="s">
        <v>16</v>
      </c>
      <c r="B14" s="6" t="n">
        <v>0.54</v>
      </c>
      <c r="C14" s="6" t="n">
        <v>2.17</v>
      </c>
      <c r="D14" s="6" t="n">
        <v>0.18</v>
      </c>
      <c r="E14" s="6" t="n">
        <f aca="false">C14-D14</f>
        <v>1.99</v>
      </c>
      <c r="F14" s="11" t="n">
        <f aca="false">IF(C14=0,0,(C14-D14)/C14)</f>
        <v>0.91705069124424</v>
      </c>
      <c r="G14" s="6" t="n">
        <f aca="false">D14-B14</f>
        <v>-0.36</v>
      </c>
    </row>
    <row r="15" customFormat="false" ht="15" hidden="false" customHeight="false" outlineLevel="0" collapsed="false">
      <c r="A15" s="5" t="s">
        <v>17</v>
      </c>
      <c r="B15" s="6" t="n">
        <v>0.48</v>
      </c>
      <c r="C15" s="6" t="n">
        <v>1.07</v>
      </c>
      <c r="D15" s="6" t="n">
        <v>0.57</v>
      </c>
      <c r="E15" s="6" t="n">
        <f aca="false">C15-D15</f>
        <v>0.5</v>
      </c>
      <c r="F15" s="11" t="n">
        <f aca="false">IF(C15=0,0,(C15-D15)/C15)</f>
        <v>0.467289719626168</v>
      </c>
      <c r="G15" s="6" t="n">
        <f aca="false">D15-B15</f>
        <v>0.09</v>
      </c>
    </row>
    <row r="16" customFormat="false" ht="15" hidden="false" customHeight="false" outlineLevel="0" collapsed="false">
      <c r="A16" s="5" t="s">
        <v>18</v>
      </c>
      <c r="B16" s="6" t="n">
        <v>0.45</v>
      </c>
      <c r="C16" s="6" t="n">
        <v>0.7</v>
      </c>
      <c r="D16" s="6" t="n">
        <v>0.39</v>
      </c>
      <c r="E16" s="6" t="n">
        <f aca="false">C16-D16</f>
        <v>0.31</v>
      </c>
      <c r="F16" s="11" t="n">
        <f aca="false">IF(C16=0,0,(C16-D16)/C16)</f>
        <v>0.442857142857143</v>
      </c>
      <c r="G16" s="6" t="n">
        <f aca="false">D16-B16</f>
        <v>-0.06</v>
      </c>
    </row>
    <row r="17" customFormat="false" ht="15" hidden="false" customHeight="false" outlineLevel="0" collapsed="false">
      <c r="A17" s="5" t="s">
        <v>19</v>
      </c>
      <c r="B17" s="6" t="n">
        <v>0.36</v>
      </c>
      <c r="C17" s="6" t="n">
        <v>0.52</v>
      </c>
      <c r="D17" s="6" t="n">
        <v>0.3</v>
      </c>
      <c r="E17" s="6" t="n">
        <f aca="false">C17-D17</f>
        <v>0.22</v>
      </c>
      <c r="F17" s="11" t="n">
        <f aca="false">IF(C17=0,0,(C17-D17)/C17)</f>
        <v>0.423076923076923</v>
      </c>
      <c r="G17" s="6" t="n">
        <f aca="false">D17-B17</f>
        <v>-0.06</v>
      </c>
    </row>
    <row r="18" customFormat="false" ht="15" hidden="false" customHeight="false" outlineLevel="0" collapsed="false">
      <c r="A18" s="5" t="s">
        <v>20</v>
      </c>
      <c r="B18" s="6" t="n">
        <v>0.34</v>
      </c>
      <c r="C18" s="6" t="n">
        <v>0.74</v>
      </c>
      <c r="D18" s="6" t="n">
        <v>0.28</v>
      </c>
      <c r="E18" s="6" t="n">
        <f aca="false">C18-D18</f>
        <v>0.46</v>
      </c>
      <c r="F18" s="11" t="n">
        <f aca="false">IF(C18=0,0,(C18-D18)/C18)</f>
        <v>0.621621621621622</v>
      </c>
      <c r="G18" s="6" t="n">
        <f aca="false">D18-B18</f>
        <v>-0.06</v>
      </c>
    </row>
    <row r="19" customFormat="false" ht="15" hidden="false" customHeight="false" outlineLevel="0" collapsed="false">
      <c r="A19" s="5" t="s">
        <v>21</v>
      </c>
      <c r="B19" s="6" t="n">
        <v>0.21</v>
      </c>
      <c r="C19" s="6" t="n">
        <v>0.96</v>
      </c>
      <c r="D19" s="6" t="n">
        <v>0.72</v>
      </c>
      <c r="E19" s="6" t="n">
        <f aca="false">C19-D19</f>
        <v>0.24</v>
      </c>
      <c r="F19" s="11" t="n">
        <f aca="false">IF(C19=0,0,(C19-D19)/C19)</f>
        <v>0.25</v>
      </c>
      <c r="G19" s="6" t="n">
        <f aca="false">D19-B19</f>
        <v>0.51</v>
      </c>
    </row>
    <row r="20" customFormat="false" ht="15" hidden="false" customHeight="false" outlineLevel="0" collapsed="false">
      <c r="A20" s="5" t="s">
        <v>22</v>
      </c>
      <c r="B20" s="6" t="n">
        <v>0.16</v>
      </c>
      <c r="C20" s="6" t="n">
        <v>0.63</v>
      </c>
      <c r="D20" s="6" t="n">
        <v>0.39</v>
      </c>
      <c r="E20" s="6" t="n">
        <f aca="false">C20-D20</f>
        <v>0.24</v>
      </c>
      <c r="F20" s="11" t="n">
        <f aca="false">IF(C20=0,0,(C20-D20)/C20)</f>
        <v>0.380952380952381</v>
      </c>
      <c r="G20" s="6" t="n">
        <f aca="false">D20-B20</f>
        <v>0.23</v>
      </c>
    </row>
    <row r="21" customFormat="false" ht="15" hidden="false" customHeight="false" outlineLevel="0" collapsed="false">
      <c r="A21" s="5" t="s">
        <v>23</v>
      </c>
      <c r="B21" s="6" t="n">
        <v>0.58</v>
      </c>
      <c r="C21" s="6" t="n">
        <v>0.63</v>
      </c>
      <c r="D21" s="6" t="n">
        <v>0.43</v>
      </c>
      <c r="E21" s="6" t="n">
        <f aca="false">C21-D21</f>
        <v>0.2</v>
      </c>
      <c r="F21" s="11" t="n">
        <f aca="false">IF(C21=0,0,(C21-D21)/C21)</f>
        <v>0.317460317460318</v>
      </c>
      <c r="G21" s="6" t="n">
        <f aca="false">D21-B21</f>
        <v>-0.15</v>
      </c>
    </row>
    <row r="22" customFormat="false" ht="15" hidden="false" customHeight="false" outlineLevel="0" collapsed="false">
      <c r="A22" s="5" t="s">
        <v>24</v>
      </c>
      <c r="B22" s="6" t="n">
        <v>0.12</v>
      </c>
      <c r="C22" s="6" t="n">
        <v>0.8</v>
      </c>
      <c r="D22" s="6" t="n">
        <v>0.21</v>
      </c>
      <c r="E22" s="6" t="n">
        <f aca="false">C22-D22</f>
        <v>0.59</v>
      </c>
      <c r="F22" s="11" t="n">
        <f aca="false">IF(C22=0,0,(C22-D22)/C22)</f>
        <v>0.7375</v>
      </c>
      <c r="G22" s="6" t="n">
        <f aca="false">D22-B22</f>
        <v>0.09</v>
      </c>
    </row>
    <row r="23" customFormat="false" ht="15" hidden="false" customHeight="false" outlineLevel="0" collapsed="false">
      <c r="A23" s="5" t="s">
        <v>25</v>
      </c>
      <c r="B23" s="6" t="n">
        <v>0.25</v>
      </c>
      <c r="C23" s="6" t="n">
        <v>0.2</v>
      </c>
      <c r="D23" s="6" t="n">
        <v>0.2</v>
      </c>
      <c r="E23" s="6" t="n">
        <f aca="false">C23-D23</f>
        <v>0</v>
      </c>
      <c r="F23" s="11" t="n">
        <f aca="false">IF(C23=0,0,(C23-D23)/C23)</f>
        <v>0</v>
      </c>
      <c r="G23" s="6" t="n">
        <f aca="false">D23-B23</f>
        <v>-0.05</v>
      </c>
    </row>
    <row r="26" customFormat="false" ht="15" hidden="false" customHeight="false" outlineLevel="0" collapsed="false">
      <c r="A26" s="12" t="s">
        <v>39</v>
      </c>
      <c r="B26" s="12"/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13" t="s">
        <v>40</v>
      </c>
      <c r="B27" s="13"/>
      <c r="C27" s="13"/>
      <c r="D27" s="13"/>
      <c r="E27" s="13"/>
      <c r="F27" s="14" t="n">
        <f aca="false">C3-D3</f>
        <v>26.25</v>
      </c>
      <c r="G27" s="14"/>
    </row>
    <row r="28" customFormat="false" ht="15" hidden="false" customHeight="false" outlineLevel="0" collapsed="false">
      <c r="A28" s="13" t="s">
        <v>41</v>
      </c>
      <c r="B28" s="13"/>
      <c r="C28" s="13"/>
      <c r="D28" s="13"/>
      <c r="E28" s="13"/>
      <c r="F28" s="15" t="n">
        <f aca="false">(C3-D3)/C3</f>
        <v>0.430963716959448</v>
      </c>
      <c r="G28" s="15"/>
    </row>
    <row r="29" customFormat="false" ht="15" hidden="false" customHeight="false" outlineLevel="0" collapsed="false">
      <c r="A29" s="13" t="s">
        <v>42</v>
      </c>
      <c r="B29" s="13"/>
      <c r="C29" s="13"/>
      <c r="D29" s="13"/>
      <c r="E29" s="13"/>
      <c r="F29" s="16" t="n">
        <f aca="false">(1000/D3)-(1000/C3)</f>
        <v>12.4340368424538</v>
      </c>
      <c r="G29" s="16"/>
    </row>
    <row r="30" customFormat="false" ht="15" hidden="false" customHeight="false" outlineLevel="0" collapsed="false">
      <c r="A30" s="13" t="s">
        <v>43</v>
      </c>
      <c r="B30" s="13"/>
      <c r="C30" s="13"/>
      <c r="D30" s="13"/>
      <c r="E30" s="13"/>
      <c r="F30" s="15" t="n">
        <f aca="false">((1000/D3)-(1000/C3))/(1000/C3)</f>
        <v>0.75735718407386</v>
      </c>
      <c r="G30" s="15"/>
    </row>
    <row r="31" customFormat="false" ht="15" hidden="false" customHeight="false" outlineLevel="0" collapsed="false">
      <c r="A31" s="17" t="s">
        <v>44</v>
      </c>
      <c r="B31" s="17"/>
      <c r="C31" s="17"/>
      <c r="D31" s="17"/>
      <c r="E31" s="17"/>
      <c r="F31" s="15" t="n">
        <f aca="false">1-(D3-B3)/(C3-B3)</f>
        <v>0.860655737704918</v>
      </c>
      <c r="G31" s="15"/>
    </row>
    <row r="32" customFormat="false" ht="15" hidden="false" customHeight="false" outlineLevel="0" collapsed="false">
      <c r="A32" s="17" t="s">
        <v>45</v>
      </c>
      <c r="B32" s="17"/>
      <c r="C32" s="17"/>
      <c r="D32" s="17"/>
      <c r="E32" s="17"/>
      <c r="F32" s="15" t="n">
        <f aca="false">(D3-B3)/B3</f>
        <v>0.139756658993752</v>
      </c>
      <c r="G32" s="15"/>
    </row>
  </sheetData>
  <mergeCells count="14">
    <mergeCell ref="A1:G1"/>
    <mergeCell ref="A26:G26"/>
    <mergeCell ref="A27:E27"/>
    <mergeCell ref="F27:G27"/>
    <mergeCell ref="A28:E28"/>
    <mergeCell ref="F28:G28"/>
    <mergeCell ref="A29:E29"/>
    <mergeCell ref="F29:G29"/>
    <mergeCell ref="A30:E30"/>
    <mergeCell ref="F30:G30"/>
    <mergeCell ref="A31:E31"/>
    <mergeCell ref="F31:G31"/>
    <mergeCell ref="A32:E32"/>
    <mergeCell ref="F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</cols>
  <sheetData>
    <row r="1" customFormat="false" ht="24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47</v>
      </c>
      <c r="B3" s="2" t="s">
        <v>48</v>
      </c>
      <c r="C3" s="2" t="s">
        <v>49</v>
      </c>
    </row>
    <row r="4" customFormat="false" ht="15" hidden="false" customHeight="false" outlineLevel="0" collapsed="false">
      <c r="A4" s="5" t="s">
        <v>50</v>
      </c>
      <c r="B4" s="18" t="n">
        <f aca="false">'1. Raw Data'!B3</f>
        <v>30.41</v>
      </c>
      <c r="C4" s="19" t="n">
        <f aca="false">1000/B4</f>
        <v>32.8839197632358</v>
      </c>
    </row>
    <row r="5" customFormat="false" ht="15" hidden="false" customHeight="false" outlineLevel="0" collapsed="false">
      <c r="A5" s="20" t="s">
        <v>51</v>
      </c>
      <c r="B5" s="18" t="n">
        <f aca="false">'1. Raw Data'!C3</f>
        <v>60.91</v>
      </c>
      <c r="C5" s="19" t="n">
        <f aca="false">1000/B5</f>
        <v>16.417665407979</v>
      </c>
    </row>
    <row r="6" customFormat="false" ht="15" hidden="false" customHeight="false" outlineLevel="0" collapsed="false">
      <c r="A6" s="20" t="s">
        <v>52</v>
      </c>
      <c r="B6" s="18" t="n">
        <f aca="false">'1. Raw Data'!D3</f>
        <v>34.66</v>
      </c>
      <c r="C6" s="19" t="n">
        <f aca="false">1000/B6</f>
        <v>28.8517022504328</v>
      </c>
    </row>
    <row r="22" customFormat="false" ht="15" hidden="false" customHeight="false" outlineLevel="0" collapsed="false">
      <c r="A22" s="21" t="s">
        <v>53</v>
      </c>
    </row>
    <row r="23" customFormat="false" ht="15" hidden="false" customHeight="false" outlineLevel="0" collapsed="false">
      <c r="A23" s="9" t="s">
        <v>54</v>
      </c>
      <c r="B23" s="9" t="s">
        <v>34</v>
      </c>
      <c r="C23" s="9" t="s">
        <v>35</v>
      </c>
    </row>
    <row r="24" customFormat="false" ht="15" hidden="false" customHeight="false" outlineLevel="0" collapsed="false">
      <c r="A24" s="5" t="s">
        <v>5</v>
      </c>
      <c r="B24" s="18" t="n">
        <v>60.91</v>
      </c>
      <c r="C24" s="18" t="n">
        <v>34.66</v>
      </c>
    </row>
    <row r="25" customFormat="false" ht="15" hidden="false" customHeight="false" outlineLevel="0" collapsed="false">
      <c r="A25" s="5" t="s">
        <v>6</v>
      </c>
      <c r="B25" s="18" t="n">
        <v>15.41</v>
      </c>
      <c r="C25" s="18" t="n">
        <v>7.7</v>
      </c>
    </row>
    <row r="26" customFormat="false" ht="15" hidden="false" customHeight="false" outlineLevel="0" collapsed="false">
      <c r="A26" s="5" t="s">
        <v>7</v>
      </c>
      <c r="B26" s="18" t="n">
        <v>10.49</v>
      </c>
      <c r="C26" s="18" t="n">
        <v>5.78</v>
      </c>
    </row>
    <row r="27" customFormat="false" ht="15" hidden="false" customHeight="false" outlineLevel="0" collapsed="false">
      <c r="A27" s="5" t="s">
        <v>8</v>
      </c>
      <c r="B27" s="18" t="n">
        <v>7.2</v>
      </c>
      <c r="C27" s="18" t="n">
        <v>4.51</v>
      </c>
    </row>
    <row r="28" customFormat="false" ht="15" hidden="false" customHeight="false" outlineLevel="0" collapsed="false">
      <c r="A28" s="5" t="s">
        <v>16</v>
      </c>
      <c r="B28" s="18" t="n">
        <v>2.17</v>
      </c>
      <c r="C28" s="18" t="n">
        <v>0.18</v>
      </c>
    </row>
    <row r="29" customFormat="false" ht="15" hidden="false" customHeight="false" outlineLevel="0" collapsed="false">
      <c r="A29" s="5" t="s">
        <v>9</v>
      </c>
      <c r="B29" s="18" t="n">
        <v>4.54</v>
      </c>
      <c r="C29" s="18" t="n">
        <v>3.21</v>
      </c>
    </row>
    <row r="30" customFormat="false" ht="15" hidden="false" customHeight="false" outlineLevel="0" collapsed="false">
      <c r="A30" s="5" t="s">
        <v>13</v>
      </c>
      <c r="B30" s="18" t="n">
        <v>2.42</v>
      </c>
      <c r="C30" s="18" t="n">
        <v>1.15</v>
      </c>
    </row>
    <row r="31" customFormat="false" ht="15" hidden="false" customHeight="false" outlineLevel="0" collapsed="false">
      <c r="A31" s="5" t="s">
        <v>10</v>
      </c>
      <c r="B31" s="18" t="n">
        <v>3.17</v>
      </c>
      <c r="C31" s="18" t="n">
        <v>2.09</v>
      </c>
    </row>
    <row r="32" customFormat="false" ht="15" hidden="false" customHeight="false" outlineLevel="0" collapsed="false">
      <c r="A32" s="5" t="s">
        <v>12</v>
      </c>
      <c r="B32" s="18" t="n">
        <v>2.79</v>
      </c>
      <c r="C32" s="18" t="n">
        <v>1.87</v>
      </c>
    </row>
    <row r="33" customFormat="false" ht="15" hidden="false" customHeight="false" outlineLevel="0" collapsed="false">
      <c r="A33" s="5" t="s">
        <v>11</v>
      </c>
      <c r="B33" s="18" t="n">
        <v>2.48</v>
      </c>
      <c r="C33" s="18" t="n">
        <v>1.64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12"/>
  </cols>
  <sheetData>
    <row r="1" customFormat="false" ht="24" hidden="false" customHeight="true" outlineLevel="0" collapsed="false">
      <c r="A1" s="1" t="s">
        <v>55</v>
      </c>
      <c r="B1" s="1"/>
      <c r="C1" s="1"/>
    </row>
    <row r="3" customFormat="false" ht="36" hidden="false" customHeight="true" outlineLevel="0" collapsed="false">
      <c r="A3" s="22" t="s">
        <v>56</v>
      </c>
      <c r="B3" s="23" t="s">
        <v>57</v>
      </c>
      <c r="C3" s="23"/>
    </row>
    <row r="4" customFormat="false" ht="36" hidden="false" customHeight="true" outlineLevel="0" collapsed="false">
      <c r="A4" s="5" t="s">
        <v>58</v>
      </c>
      <c r="B4" s="24" t="s">
        <v>59</v>
      </c>
      <c r="C4" s="24"/>
    </row>
    <row r="5" customFormat="false" ht="36" hidden="false" customHeight="true" outlineLevel="0" collapsed="false">
      <c r="A5" s="5" t="s">
        <v>60</v>
      </c>
      <c r="B5" s="24" t="s">
        <v>61</v>
      </c>
      <c r="C5" s="24"/>
    </row>
    <row r="6" customFormat="false" ht="36" hidden="false" customHeight="true" outlineLevel="0" collapsed="false">
      <c r="A6" s="5" t="s">
        <v>62</v>
      </c>
      <c r="B6" s="25" t="s">
        <v>63</v>
      </c>
      <c r="C6" s="25"/>
    </row>
    <row r="8" customFormat="false" ht="21.75" hidden="false" customHeight="true" outlineLevel="0" collapsed="false">
      <c r="A8" s="26" t="s">
        <v>64</v>
      </c>
      <c r="B8" s="26"/>
      <c r="C8" s="26"/>
    </row>
    <row r="9" customFormat="false" ht="15" hidden="false" customHeight="false" outlineLevel="0" collapsed="false">
      <c r="A9" s="9" t="s">
        <v>65</v>
      </c>
      <c r="B9" s="9" t="s">
        <v>66</v>
      </c>
      <c r="C9" s="9" t="s">
        <v>67</v>
      </c>
    </row>
    <row r="10" customFormat="false" ht="15" hidden="false" customHeight="false" outlineLevel="0" collapsed="false">
      <c r="A10" s="27" t="s">
        <v>68</v>
      </c>
      <c r="B10" s="18" t="n">
        <f aca="false">'1. Raw Data'!B3</f>
        <v>30.41</v>
      </c>
      <c r="C10" s="27" t="s">
        <v>69</v>
      </c>
    </row>
    <row r="11" customFormat="false" ht="15" hidden="false" customHeight="false" outlineLevel="0" collapsed="false">
      <c r="A11" s="28" t="s">
        <v>70</v>
      </c>
      <c r="B11" s="18" t="n">
        <f aca="false">'1. Raw Data'!C3</f>
        <v>60.91</v>
      </c>
      <c r="C11" s="27" t="s">
        <v>69</v>
      </c>
    </row>
    <row r="12" customFormat="false" ht="15" hidden="false" customHeight="false" outlineLevel="0" collapsed="false">
      <c r="A12" s="28" t="s">
        <v>71</v>
      </c>
      <c r="B12" s="18" t="n">
        <f aca="false">'1. Raw Data'!D3</f>
        <v>34.66</v>
      </c>
      <c r="C12" s="27" t="s">
        <v>69</v>
      </c>
    </row>
    <row r="13" customFormat="false" ht="15" hidden="false" customHeight="false" outlineLevel="0" collapsed="false">
      <c r="A13" s="27" t="s">
        <v>72</v>
      </c>
      <c r="B13" s="18" t="n">
        <f aca="false">'1. Raw Data'!C3 - '1. Raw Data'!D3</f>
        <v>26.25</v>
      </c>
      <c r="C13" s="27" t="s">
        <v>69</v>
      </c>
    </row>
    <row r="14" customFormat="false" ht="15" hidden="false" customHeight="false" outlineLevel="0" collapsed="false">
      <c r="A14" s="27" t="s">
        <v>73</v>
      </c>
      <c r="B14" s="29" t="n">
        <f aca="false">('1. Raw Data'!C3 - '1. Raw Data'!D3)/'1. Raw Data'!C3</f>
        <v>0.430963716959448</v>
      </c>
      <c r="C14" s="27" t="s">
        <v>74</v>
      </c>
    </row>
    <row r="15" customFormat="false" ht="15" hidden="false" customHeight="false" outlineLevel="0" collapsed="false">
      <c r="A15" s="28" t="s">
        <v>75</v>
      </c>
      <c r="B15" s="29" t="n">
        <f aca="false">1 - ('1. Raw Data'!D3 - '1. Raw Data'!B3) / ('1. Raw Data'!C3 - '1. Raw Data'!B3)</f>
        <v>0.860655737704918</v>
      </c>
      <c r="C15" s="27" t="s">
        <v>74</v>
      </c>
    </row>
    <row r="16" customFormat="false" ht="15" hidden="false" customHeight="false" outlineLevel="0" collapsed="false">
      <c r="A16" s="28" t="s">
        <v>76</v>
      </c>
      <c r="B16" s="29" t="n">
        <f aca="false">('1. Raw Data'!D3 - '1. Raw Data'!B3)/'1. Raw Data'!B3</f>
        <v>0.139756658993752</v>
      </c>
      <c r="C16" s="27" t="s">
        <v>74</v>
      </c>
    </row>
    <row r="17" customFormat="false" ht="15" hidden="false" customHeight="false" outlineLevel="0" collapsed="false">
      <c r="A17" s="27" t="s">
        <v>77</v>
      </c>
      <c r="B17" s="19" t="n">
        <f aca="false">(1000/'1. Raw Data'!D3) - (1000/'1. Raw Data'!C3)</f>
        <v>12.4340368424538</v>
      </c>
      <c r="C17" s="27" t="s">
        <v>49</v>
      </c>
    </row>
    <row r="19" customFormat="false" ht="21.75" hidden="false" customHeight="true" outlineLevel="0" collapsed="false">
      <c r="A19" s="26" t="s">
        <v>78</v>
      </c>
      <c r="B19" s="26"/>
      <c r="C19" s="26"/>
    </row>
    <row r="20" customFormat="false" ht="30" hidden="false" customHeight="true" outlineLevel="0" collapsed="false">
      <c r="A20" s="30" t="s">
        <v>79</v>
      </c>
      <c r="B20" s="30"/>
      <c r="C20" s="30"/>
    </row>
    <row r="21" customFormat="false" ht="30" hidden="false" customHeight="true" outlineLevel="0" collapsed="false">
      <c r="A21" s="30"/>
      <c r="B21" s="30"/>
      <c r="C21" s="30"/>
    </row>
    <row r="22" customFormat="false" ht="30" hidden="false" customHeight="true" outlineLevel="0" collapsed="false">
      <c r="A22" s="30"/>
      <c r="B22" s="30"/>
      <c r="C22" s="30"/>
    </row>
  </sheetData>
  <mergeCells count="8">
    <mergeCell ref="A1:C1"/>
    <mergeCell ref="B3:C3"/>
    <mergeCell ref="B4:C4"/>
    <mergeCell ref="B5:C5"/>
    <mergeCell ref="B6:C6"/>
    <mergeCell ref="A8:C8"/>
    <mergeCell ref="A19:C19"/>
    <mergeCell ref="A20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2026-04-21T09:36:23Z</dcterms:created>
  <dc:creator>openpyxl</dc:creator>
  <dc:description/>
  <dc:language>en-US</dc:language>
  <cp:lastModifiedBy/>
  <dcterms:modified xsi:type="dcterms:W3CDTF">2026-04-21T09:36:28Z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